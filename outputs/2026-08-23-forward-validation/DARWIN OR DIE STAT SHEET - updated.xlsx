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da5ed733b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bivore Stat Sheet" sheetId="1" r:id="R733d0f62d9a846af"/>
    <x:sheet xmlns:r="http://schemas.openxmlformats.org/officeDocument/2006/relationships" name="Predator Stat Sheet" sheetId="2" r:id="R5a94ea904c8b4801"/>
    <x:sheet xmlns:r="http://schemas.openxmlformats.org/officeDocument/2006/relationships" name="Independent Calculator" sheetId="3" r:id="Rcae667c66c384f0b"/>
  </x:sheets>
</x:workbook>
</file>

<file path=xl/sharedStrings.xml><?xml version="1.0" encoding="utf-8"?>
<x:sst xmlns:x="http://schemas.openxmlformats.org/spreadsheetml/2006/main">
  <x:si>
    <x:t xml:space="preserve">Starting Population</x:t>
  </x:si>
  <x:si>
    <x:t xml:space="preserve">SPO</x:t>
  </x:si>
  <x:si>
    <x:t xml:space="preserve"># of starting Population</x:t>
  </x:si>
  <x:si>
    <x:t xml:space="preserve">Baseline population count</x:t>
  </x:si>
  <x:si>
    <x:t xml:space="preserve">Encounters</x:t>
  </x:si>
  <x:si>
    <x:t xml:space="preserve">ECN</x:t>
  </x:si>
  <x:si>
    <x:t xml:space="preserve">Total # of interactions between an herbivore species and carnivores</x:t>
  </x:si>
  <x:si>
    <x:t xml:space="preserve">Exposure/opportunity counter</x:t>
  </x:si>
  <x:si>
    <x:t xml:space="preserve">Preyed</x:t>
  </x:si>
  <x:si>
    <x:t xml:space="preserve">PREY</x:t>
  </x:si>
  <x:si>
    <x:t xml:space="preserve">Total # of times a carnivore killed the herbivore species</x:t>
  </x:si>
  <x:si>
    <x:t xml:space="preserve">Adverse event counter</x:t>
  </x:si>
  <x:si>
    <x:t xml:space="preserve">Starved</x:t>
  </x:si>
  <x:si>
    <x:t xml:space="preserve">STRV</x:t>
  </x:si>
  <x:si>
    <x:t xml:space="preserve">Total # of times the herbivore species starved to death</x:t>
  </x:si>
  <x:si>
    <x:t xml:space="preserve">Mating</x:t>
  </x:si>
  <x:si>
    <x:t xml:space="preserve">MAT</x:t>
  </x:si>
  <x:si>
    <x:t xml:space="preserve">Total # of times a herbivore species attempted to mate</x:t>
  </x:si>
  <x:si>
    <x:t xml:space="preserve">Mating opportunity counter</x:t>
  </x:si>
  <x:si>
    <x:t xml:space="preserve">Births</x:t>
  </x:si>
  <x:si>
    <x:t xml:space="preserve">BIR</x:t>
  </x:si>
  <x:si>
    <x:t xml:space="preserve">Total # of successful Births</x:t>
  </x:si>
  <x:si>
    <x:t xml:space="preserve">Successful outcome counter</x:t>
  </x:si>
  <x:si>
    <x:t xml:space="preserve">Crowding</x:t>
  </x:si>
  <x:si>
    <x:t xml:space="preserve">CRWD</x:t>
  </x:si>
  <x:si>
    <x:t xml:space="preserve">Total # of Crowding Deaths</x:t>
  </x:si>
  <x:si>
    <x:t xml:space="preserve">Final Population</x:t>
  </x:si>
  <x:si>
    <x:t xml:space="preserve">FPO</x:t>
  </x:si>
  <x:si>
    <x:t xml:space="preserve">SPO + BIR - PREY -  STRV - CRWD</x:t>
  </x:si>
  <x:si>
    <x:t xml:space="preserve">Population conservation/reconciliation formula</x:t>
  </x:si>
  <x:si>
    <x:t xml:space="preserve">Inverse Preyed Average</x:t>
  </x:si>
  <x:si>
    <x:t xml:space="preserve">pAVI</x:t>
  </x:si>
  <x:si>
    <x:t xml:space="preserve">1-(PREY/ECN)</x:t>
  </x:si>
  <x:si>
    <x:t xml:space="preserve">Inverse exposure rate; ECN=0 means N/A, with APS contribution 0</x:t>
  </x:si>
  <x:si>
    <x:t xml:space="preserve">Inverse Starved Average</x:t>
  </x:si>
  <x:si>
    <x:t xml:space="preserve">sAVI</x:t>
  </x:si>
  <x:si>
    <x:t xml:space="preserve">1-(STRV/SPO+BIR-PREY)</x:t>
  </x:si>
  <x:si>
    <x:t xml:space="preserve">Inverse exposure rate; zero exposure means N/A, with starvation penalty 0 in APS</x:t>
  </x:si>
  <x:si>
    <x:t xml:space="preserve">Inverse Crowding Average</x:t>
  </x:si>
  <x:si>
    <x:t xml:space="preserve">cAVI</x:t>
  </x:si>
  <x:si>
    <x:t xml:space="preserve">1-(CRWD/SPO+BIR-PREY-STRV)</x:t>
  </x:si>
  <x:si>
    <x:t xml:space="preserve">Inverse exposure rate; zero exposure means N/A, with crowding penalty 0 in APS</x:t>
  </x:si>
  <x:si>
    <x:t xml:space="preserve">Birth Average</x:t>
  </x:si>
  <x:si>
    <x:t xml:space="preserve">bAVG</x:t>
  </x:si>
  <x:si>
    <x:t xml:space="preserve">BIR/MAT</x:t>
  </x:si>
  <x:si>
    <x:t xml:space="preserve">Success-per-opportunity rate; MAT=0 means N/A</x:t>
  </x:si>
  <x:si>
    <x:t xml:space="preserve">Replication Fitness Score</x:t>
  </x:si>
  <x:si>
    <x:t xml:space="preserve">RFS</x:t>
  </x:si>
  <x:si>
    <x:t xml:space="preserve">Actual Prey Score</x:t>
  </x:si>
  <x:si>
    <x:t xml:space="preserve">APS</x:t>
  </x:si>
  <x:si>
    <x:t xml:space="preserve">RFS+pAVI-(1-sAVI)-(1-cAVI)</x:t>
  </x:si>
  <x:si>
    <x:t xml:space="preserve">Composite score; missing components are neutralized inside APS</x:t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</x:si>
</x:sst>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Aptos Narrow"/>
    </x:font>
    <x:font>
      <x:b/>
      <x:sz val="11"/>
      <x:color rgb="FFFFFFFF"/>
      <x:name val="Aptos Narrow"/>
    </x:font>
    <x:font>
      <x:i/>
      <x:sz val="11"/>
      <x:color rgb="FF1F1F1F"/>
      <x:name val="Aptos Narrow"/>
    </x:font>
    <x:font>
      <x:b/>
      <x:sz val="11"/>
      <x:color theme="1"/>
      <x:name val="Aptos Narrow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c2f4fe7764650" /><Relationship Type="http://schemas.openxmlformats.org/officeDocument/2006/relationships/theme" Target="/xl/theme/theme1.xml" Id="Rd7aa8b5c6b2d46a4" /><Relationship Type="http://schemas.openxmlformats.org/officeDocument/2006/relationships/sharedStrings" Target="/xl/sharedStrings.xml" Id="R28996f352b3c4448" /><Relationship Type="http://schemas.openxmlformats.org/officeDocument/2006/relationships/worksheet" Target="/xl/worksheets/sheet1.xml" Id="R733d0f62d9a846af" /><Relationship Type="http://schemas.openxmlformats.org/officeDocument/2006/relationships/worksheet" Target="/xl/worksheets/sheet2.xml" Id="R5a94ea904c8b4801" /><Relationship Type="http://schemas.openxmlformats.org/officeDocument/2006/relationships/worksheet" Target="/xl/worksheets/sheet3.xml" Id="Rcae667c66c384f0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2.6328125" customWidth="1"/>
    <x:col min="3" max="3" width="58.7265625" customWidth="1"/>
    <x:col min="4" max="4" width="69.816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 t="s">
        <x:v>6</x:v>
      </x:c>
      <x:c r="D2" t="s">
        <x:v>7</x:v>
      </x:c>
    </x:row>
    <x:row r="3">
      <x:c r="A3" t="s">
        <x:v>8</x:v>
      </x:c>
      <x:c r="B3" t="s">
        <x:v>9</x:v>
      </x:c>
      <x:c r="C3" t="s">
        <x:v>10</x:v>
      </x:c>
      <x:c r="D3" t="s">
        <x:v>11</x:v>
      </x:c>
    </x:row>
    <x:row r="4">
      <x:c r="A4" t="s">
        <x:v>12</x:v>
      </x:c>
      <x:c r="B4" t="s">
        <x:v>13</x:v>
      </x:c>
      <x:c r="C4" t="s">
        <x:v>14</x:v>
      </x:c>
      <x:c r="D4" t="s">
        <x:v>11</x:v>
      </x:c>
    </x:row>
    <x:row r="5">
      <x:c r="A5" t="s">
        <x:v>15</x:v>
      </x:c>
      <x:c r="B5" t="s">
        <x:v>16</x:v>
      </x:c>
      <x:c r="C5" t="s">
        <x:v>17</x:v>
      </x:c>
      <x:c r="D5" t="s">
        <x:v>18</x:v>
      </x:c>
    </x:row>
    <x:row r="6">
      <x:c r="A6" t="s">
        <x:v>19</x:v>
      </x:c>
      <x:c r="B6" t="s">
        <x:v>20</x:v>
      </x:c>
      <x:c r="C6" t="s">
        <x:v>21</x:v>
      </x:c>
      <x:c r="D6" t="s">
        <x:v>22</x:v>
      </x:c>
    </x:row>
    <x:row r="7">
      <x:c r="A7" t="s">
        <x:v>23</x:v>
      </x:c>
      <x:c r="B7" t="s">
        <x:v>24</x:v>
      </x:c>
      <x:c r="C7" t="s">
        <x:v>25</x:v>
      </x:c>
      <x:c r="D7" t="s">
        <x:v>11</x:v>
      </x:c>
    </x:row>
    <x:row r="8">
      <x:c r="A8" t="s">
        <x:v>26</x:v>
      </x:c>
      <x:c r="B8" t="s">
        <x:v>27</x:v>
      </x:c>
      <x:c r="C8" t="s">
        <x:v>28</x:v>
      </x:c>
      <x:c r="D8" t="s">
        <x:v>29</x:v>
      </x:c>
    </x:row>
    <x:row r="9">
      <x:c r="A9" t="s">
        <x:v>30</x:v>
      </x:c>
      <x:c r="B9" t="s">
        <x:v>31</x:v>
      </x:c>
      <x:c r="C9" t="s">
        <x:v>32</x:v>
      </x:c>
      <x:c r="D9" t="s">
        <x:v>33</x:v>
      </x:c>
    </x:row>
    <x:row r="10">
      <x:c r="A10" t="s">
        <x:v>34</x:v>
      </x:c>
      <x:c r="B10" t="s">
        <x:v>35</x:v>
      </x:c>
      <x:c r="C10" t="s">
        <x:v>36</x:v>
      </x:c>
      <x:c r="D10" t="s">
        <x:v>37</x:v>
      </x:c>
    </x:row>
    <x:row r="11">
      <x:c r="A11" t="s">
        <x:v>38</x:v>
      </x:c>
      <x:c r="B11" t="s">
        <x:v>39</x:v>
      </x:c>
      <x:c r="C11" t="s">
        <x:v>40</x:v>
      </x:c>
      <x:c r="D11" t="s">
        <x:v>41</x:v>
      </x:c>
    </x:row>
    <x:row r="12">
      <x:c r="A12" t="s">
        <x:v>42</x:v>
      </x:c>
      <x:c r="B12" t="s">
        <x:v>43</x:v>
      </x:c>
      <x:c r="C12" t="s">
        <x:v>44</x:v>
      </x:c>
      <x:c r="D12" t="s">
        <x:v>45</x:v>
      </x:c>
    </x:row>
    <x:row r="13">
      <x:c r="A13" t="s">
        <x:v>46</x:v>
      </x:c>
      <x:c r="B13" t="s">
        <x:v>47</x:v>
      </x:c>
      <x:c r="C13" t="str">
        <x:v>(FPO-SPO)*bAVG</x:v>
      </x:c>
      <x:c r="D13" t="str">
        <x:v>Derived replication score; bAVG=0 is a valid zero multiplier when MAT&gt;0; no birth opportunity is N/A and neutral in APS</x:v>
      </x:c>
    </x:row>
    <x:row r="15">
      <x:c r="A15" t="s">
        <x:v>48</x:v>
      </x:c>
      <x:c r="B15" t="s">
        <x:v>49</x:v>
      </x:c>
      <x:c r="C15" t="s">
        <x:v>50</x:v>
      </x:c>
      <x:c r="D15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58" hidden="0" customWidth="1"/>
  </x:cols>
  <x:sheetData>
    <x:row r="1">
      <x:c r="A1" s="18" t="str">
        <x:v>Independent Herbivore Stat Calculator</x:v>
      </x:c>
      <x:c r="B1" s="18"/>
      <x:c r="C1" s="18"/>
      <x:c r="D1" s="18"/>
      <x:c r="E1" s="18"/>
      <x:c r="F1" s="18"/>
      <x:c r="G1" s="18"/>
    </x:row>
    <x:row r="2">
      <x:c r="A2" s="19" t="str">
        <x:v>Paste raw counts from an actual simulation report into the yellow Value cells. Derived results use independent formulas.</x:v>
      </x:c>
      <x:c r="B2" s="19"/>
      <x:c r="C2" s="19"/>
      <x:c r="D2" s="19"/>
      <x:c r="E2" s="19"/>
      <x:c r="F2" s="19"/>
      <x:c r="G2" s="19"/>
    </x:row>
    <x:row r="3">
      <x:c r="A3" s="20"/>
      <x:c r="B3" s="20"/>
      <x:c r="C3" s="20"/>
      <x:c r="D3" s="20"/>
      <x:c r="E3" s="20"/>
      <x:c r="F3" s="20"/>
      <x:c r="G3" s="20"/>
    </x:row>
    <x:row r="4">
      <x:c r="A4" s="21" t="str">
        <x:v>Raw simulation count</x:v>
      </x:c>
      <x:c r="B4" s="21" t="str">
        <x:v>Value</x:v>
      </x:c>
      <x:c r="C4" s="20"/>
      <x:c r="D4" s="20"/>
      <x:c r="E4" s="20"/>
      <x:c r="F4" s="20"/>
      <x:c r="G4" s="20"/>
    </x:row>
    <x:row r="5">
      <x:c r="A5" s="20" t="str">
        <x:v>SPO</x:v>
      </x:c>
      <x:c r="B5" s="22"/>
      <x:c r="C5" s="20"/>
      <x:c r="D5" s="20"/>
      <x:c r="E5" s="20"/>
      <x:c r="F5" s="20"/>
      <x:c r="G5" s="20"/>
    </x:row>
    <x:row r="6">
      <x:c r="A6" s="20" t="str">
        <x:v>ECN</x:v>
      </x:c>
      <x:c r="B6" s="22"/>
      <x:c r="C6" s="20"/>
      <x:c r="D6" s="20"/>
      <x:c r="E6" s="20"/>
      <x:c r="F6" s="20"/>
      <x:c r="G6" s="20"/>
    </x:row>
    <x:row r="7">
      <x:c r="A7" s="20" t="str">
        <x:v>PREY</x:v>
      </x:c>
      <x:c r="B7" s="22"/>
      <x:c r="C7" s="20"/>
      <x:c r="D7" s="20"/>
      <x:c r="E7" s="20"/>
      <x:c r="F7" s="20"/>
      <x:c r="G7" s="20"/>
    </x:row>
    <x:row r="8">
      <x:c r="A8" s="20" t="str">
        <x:v>STRV</x:v>
      </x:c>
      <x:c r="B8" s="22"/>
      <x:c r="C8" s="20"/>
      <x:c r="D8" s="20"/>
      <x:c r="E8" s="20"/>
      <x:c r="F8" s="20"/>
      <x:c r="G8" s="20"/>
    </x:row>
    <x:row r="9">
      <x:c r="A9" s="20" t="str">
        <x:v>MAT</x:v>
      </x:c>
      <x:c r="B9" s="22"/>
      <x:c r="C9" s="20"/>
      <x:c r="D9" s="20"/>
      <x:c r="E9" s="20"/>
      <x:c r="F9" s="20"/>
      <x:c r="G9" s="20"/>
    </x:row>
    <x:row r="10">
      <x:c r="A10" s="20" t="str">
        <x:v>BIR</x:v>
      </x:c>
      <x:c r="B10" s="22"/>
      <x:c r="C10" s="20"/>
      <x:c r="D10" s="20"/>
      <x:c r="E10" s="20"/>
      <x:c r="F10" s="20"/>
      <x:c r="G10" s="20"/>
    </x:row>
    <x:row r="11">
      <x:c r="A11" s="20" t="str">
        <x:v>CRWD</x:v>
      </x:c>
      <x:c r="B11" s="22"/>
      <x:c r="C11" s="20"/>
      <x:c r="D11" s="20"/>
      <x:c r="E11" s="20"/>
      <x:c r="F11" s="20"/>
      <x:c r="G11" s="20"/>
    </x:row>
    <x:row r="12">
      <x:c r="A12" s="20" t="str">
        <x:v>FPO</x:v>
      </x:c>
      <x:c r="B12" s="22"/>
      <x:c r="C12" s="20"/>
      <x:c r="D12" s="20"/>
      <x:c r="E12" s="20"/>
      <x:c r="F12" s="20"/>
      <x:c r="G12" s="20"/>
    </x:row>
    <x:row r="13">
      <x:c r="A13" s="20" t="str">
        <x:v>Input status</x:v>
      </x:c>
      <x:c r="B13" s="23" t="str">
        <x:f>IF(COUNT(B5:B12)=8,"READY","AWAITING RAW COUNTS")</x:f>
        <x:v>AWAITING RAW COUNTS</x:v>
      </x:c>
      <x:c r="C13" s="20"/>
      <x:c r="D13" s="20"/>
      <x:c r="E13" s="20"/>
      <x:c r="F13" s="20"/>
      <x:c r="G13" s="20"/>
    </x:row>
    <x:row r="14">
      <x:c r="A14" s="20"/>
      <x:c r="B14" s="20"/>
      <x:c r="C14" s="20"/>
      <x:c r="D14" s="20"/>
      <x:c r="E14" s="20"/>
      <x:c r="F14" s="20"/>
      <x:c r="G14" s="20"/>
    </x:row>
    <x:row r="15">
      <x:c r="A15" s="21" t="str">
        <x:v>Metric</x:v>
      </x:c>
      <x:c r="B15" s="21" t="str">
        <x:v>Code</x:v>
      </x:c>
      <x:c r="C15" s="21" t="str">
        <x:v>Numerator / net change</x:v>
      </x:c>
      <x:c r="D15" s="21" t="str">
        <x:v>Denominator / multiplier</x:v>
      </x:c>
      <x:c r="E15" s="21" t="str">
        <x:v>Independent result</x:v>
      </x:c>
      <x:c r="F15" s="21" t="str">
        <x:v>Status</x:v>
      </x:c>
      <x:c r="G15" s="21" t="str">
        <x:v>Contract</x:v>
      </x:c>
    </x:row>
    <x:row r="16">
      <x:c r="A16" s="20" t="str">
        <x:v>Final Population</x:v>
      </x:c>
      <x:c r="B16" s="20" t="str">
        <x:v>FPO</x:v>
      </x:c>
      <x:c r="C16" s="20" t="n">
        <x:f>B12</x:f>
        <x:v>0</x:v>
      </x:c>
      <x:c r="D16" s="20" t="n">
        <x:f>B5+B10-B7-B8-B11</x:f>
        <x:v>0</x:v>
      </x:c>
      <x:c r="E16" s="24" t="str">
        <x:f>IF($B$13&lt;&gt;"READY","",C16)</x:f>
      </x:c>
      <x:c r="F16" s="20" t="str">
        <x:f>IF($B$13&lt;&gt;"READY","",IF(C16=D16,"VALID","INVALID"))</x:f>
      </x:c>
      <x:c r="G16" s="20" t="str">
        <x:v>SPO+BIR-PREY-STRV-CRWD; must reconcile to FPO</x:v>
      </x:c>
    </x:row>
    <x:row r="17">
      <x:c r="A17" s="20" t="str">
        <x:v>Inverse Preyed Average</x:v>
      </x:c>
      <x:c r="B17" s="20" t="str">
        <x:v>pAVI</x:v>
      </x:c>
      <x:c r="C17" s="20" t="n">
        <x:f>B7</x:f>
        <x:v>0</x:v>
      </x:c>
      <x:c r="D17" s="20" t="n">
        <x:f>B6</x:f>
        <x:v>0</x:v>
      </x:c>
      <x:c r="E17" s="24" t="str">
        <x:f>IF($B$13&lt;&gt;"READY","",IF(F17="VALID",1-C17/D17,""))</x:f>
      </x:c>
      <x:c r="F17" s="20" t="str">
        <x:f>IF($B$13&lt;&gt;"READY","",IF(OR(C17&lt;0,D17&lt;0,C17&gt;D17),"INVALID",IF(D17=0,IF(C17=0,"N/A","INVALID"),"VALID")))</x:f>
      </x:c>
      <x:c r="G17" s="20" t="str">
        <x:v>1-PREY/ECN; N/A is neutral in APS</x:v>
      </x:c>
    </x:row>
    <x:row r="18">
      <x:c r="A18" s="20" t="str">
        <x:v>Inverse Starved Average</x:v>
      </x:c>
      <x:c r="B18" s="20" t="str">
        <x:v>sAVI</x:v>
      </x:c>
      <x:c r="C18" s="20" t="n">
        <x:f>B8</x:f>
        <x:v>0</x:v>
      </x:c>
      <x:c r="D18" s="20" t="n">
        <x:f>B5+B10-B7</x:f>
        <x:v>0</x:v>
      </x:c>
      <x:c r="E18" s="24" t="str">
        <x:f>IF($B$13&lt;&gt;"READY","",IF(F18="VALID",1-C18/D18,""))</x:f>
      </x:c>
      <x:c r="F18" s="20" t="str">
        <x:f>IF($B$13&lt;&gt;"READY","",IF(OR(C18&lt;0,D18&lt;0,C18&gt;D18),"INVALID",IF(D18=0,IF(C18=0,"N/A","INVALID"),"VALID")))</x:f>
      </x:c>
      <x:c r="G18" s="20" t="str">
        <x:v>1-STRV/(SPO+BIR-PREY); N/A is neutral in APS</x:v>
      </x:c>
    </x:row>
    <x:row r="19">
      <x:c r="A19" s="20" t="str">
        <x:v>Inverse Crowding Average</x:v>
      </x:c>
      <x:c r="B19" s="20" t="str">
        <x:v>cAVI</x:v>
      </x:c>
      <x:c r="C19" s="20" t="n">
        <x:f>B11</x:f>
        <x:v>0</x:v>
      </x:c>
      <x:c r="D19" s="20" t="n">
        <x:f>B5+B10-B7-B8</x:f>
        <x:v>0</x:v>
      </x:c>
      <x:c r="E19" s="24" t="str">
        <x:f>IF($B$13&lt;&gt;"READY","",IF(F19="VALID",1-C19/D19,""))</x:f>
      </x:c>
      <x:c r="F19" s="20" t="str">
        <x:f>IF($B$13&lt;&gt;"READY","",IF(OR(C19&lt;0,D19&lt;0,C19&gt;D19),"INVALID",IF(D19=0,IF(C19=0,"N/A","INVALID"),"VALID")))</x:f>
      </x:c>
      <x:c r="G19" s="20" t="str">
        <x:v>1-CRWD/(SPO+BIR-PREY-STRV); N/A is neutral in APS</x:v>
      </x:c>
    </x:row>
    <x:row r="20">
      <x:c r="A20" s="20" t="str">
        <x:v>Birth Average</x:v>
      </x:c>
      <x:c r="B20" s="20" t="str">
        <x:v>bAVG</x:v>
      </x:c>
      <x:c r="C20" s="20" t="n">
        <x:f>B10</x:f>
        <x:v>0</x:v>
      </x:c>
      <x:c r="D20" s="20" t="n">
        <x:f>B9</x:f>
        <x:v>0</x:v>
      </x:c>
      <x:c r="E20" s="24" t="str">
        <x:f>IF($B$13&lt;&gt;"READY","",IF(F20="VALID",C20/D20,""))</x:f>
      </x:c>
      <x:c r="F20" s="20" t="str">
        <x:f>IF($B$13&lt;&gt;"READY","",IF(OR(C20&lt;0,D20&lt;0,C20&gt;D20),"INVALID",IF(D20=0,IF(C20=0,"N/A","INVALID"),"VALID")))</x:f>
      </x:c>
      <x:c r="G20" s="20" t="str">
        <x:v>BIR/MAT; valid zero is allowed when MAT&gt;0</x:v>
      </x:c>
    </x:row>
    <x:row r="21">
      <x:c r="A21" s="20" t="str">
        <x:v>Replication Fitness Score</x:v>
      </x:c>
      <x:c r="B21" s="20" t="str">
        <x:v>RFS</x:v>
      </x:c>
      <x:c r="C21" s="20" t="n">
        <x:f>B12-B5</x:f>
        <x:v>0</x:v>
      </x:c>
      <x:c r="D21" s="20" t="str">
        <x:f>E20</x:f>
      </x:c>
      <x:c r="E21" s="24" t="str">
        <x:f>IF($B$13&lt;&gt;"READY","",IF(F21="VALID",C21*D21,""))</x:f>
      </x:c>
      <x:c r="F21" s="20" t="str">
        <x:f>IF($B$13&lt;&gt;"READY","",IF(F20="INVALID","INVALID",IF(F20="N/A","N/A","VALID")))</x:f>
      </x:c>
      <x:c r="G21" s="20" t="str">
        <x:v>(FPO-SPO)*bAVG</x:v>
      </x:c>
    </x:row>
    <x:row r="22">
      <x:c r="A22" s="20" t="str">
        <x:v>Actual Prey Score</x:v>
      </x:c>
      <x:c r="B22" s="20" t="str">
        <x:v>APS</x:v>
      </x:c>
      <x:c r="C22" s="20"/>
      <x:c r="D22" s="20"/>
      <x:c r="E22" s="24" t="str">
        <x:f>IF($B$13&lt;&gt;"READY","",IF(F22="VALID",IF(F21="VALID",E21,0)+IF(F17="VALID",E17,0)-IF(F18="VALID",1-E18,0)-IF(F19="VALID",1-E19,0),""))</x:f>
      </x:c>
      <x:c r="F22" s="20" t="str">
        <x:f>IF($B$13&lt;&gt;"READY","",IF(OR(F16="INVALID",F17="INVALID",F18="INVALID",F19="INVALID",F20="INVALID",F21="INVALID"),"INVALID","VALID"))</x:f>
      </x:c>
      <x:c r="G22" s="20" t="str">
        <x:v>RFS+pAVI-(1-sAVI)-(1-cAVI); N/A neutral, INVALID propagates</x:v>
      </x:c>
    </x:row>
  </x:sheetData>
  <x:mergeCells>
    <x:mergeCell ref="A1:G1"/>
    <x:mergeCell ref="A2:G2"/>
  </x:mergeCells>
  <x:pageMargins left="0.7" right="0.7" top="0.75" bottom="0.75" header="0.3" footer="0.3"/>
</x:worksheet>
</file>