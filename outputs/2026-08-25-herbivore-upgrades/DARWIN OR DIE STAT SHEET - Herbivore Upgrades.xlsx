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e90e392dc9f43d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Herbivore Stat Sheet" sheetId="1" r:id="R7924b30359f44142"/>
    <x:sheet xmlns:r="http://schemas.openxmlformats.org/officeDocument/2006/relationships" name="Predator Stat Sheet" sheetId="2" r:id="R891b185b7ce24a34"/>
    <x:sheet xmlns:r="http://schemas.openxmlformats.org/officeDocument/2006/relationships" name="Independent Calculator" sheetId="3" r:id="R126646af828f425b"/>
    <x:sheet xmlns:r="http://schemas.openxmlformats.org/officeDocument/2006/relationships" name="Herbivore Upgrades" sheetId="4" r:id="Ra0156d3bdff1465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0000"/>
    <x:numFmt numFmtId="201" formatCode="#,##0"/>
    <x:numFmt numFmtId="202" formatCode="0.0000"/>
  </x:numFmts>
  <x:fonts count="8">
    <x:font>
      <x:sz val="11"/>
      <x:color theme="1"/>
      <x:name val="Aptos Narrow"/>
    </x:font>
    <x:font>
      <x:b/>
      <x:sz val="11"/>
      <x:color rgb="FFFFFFFF"/>
      <x:name val="Aptos Narrow"/>
    </x:font>
    <x:font>
      <x:i/>
      <x:sz val="11"/>
      <x:color rgb="FF1F1F1F"/>
      <x:name val="Aptos Narrow"/>
    </x:font>
    <x:font>
      <x:b/>
      <x:sz val="11"/>
      <x:color theme="1"/>
      <x:name val="Aptos Narrow"/>
    </x:font>
    <x:font>
      <x:b/>
      <x:sz val="11"/>
      <x:color rgb="FF1F1F1F"/>
      <x:name val="Aptos Narrow"/>
    </x:font>
    <x:font>
      <x:b/>
      <x:sz val="16"/>
      <x:color rgb="FFFFFFFF"/>
      <x:name val="Aptos Narrow"/>
    </x:font>
    <x:font>
      <x:sz val="11"/>
      <x:color rgb="FF1F1F1F"/>
      <x:name val="Aptos Narrow"/>
    </x:font>
    <x:font>
      <x:b/>
      <x:sz val="13"/>
      <x:color rgb="FFFFFFFF"/>
      <x:name val="Aptos Narrow"/>
    </x:font>
  </x:fonts>
  <x:fills count="17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5B9BD5"/>
      </x:patternFill>
    </x:fill>
    <x:fill>
      <x:patternFill patternType="solid">
        <x:fgColor rgb="FFFFF2CC"/>
      </x:patternFill>
    </x:fill>
    <x:fill>
      <x:patternFill patternType="solid">
        <x:fgColor rgb="FFFCE4D6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5B9BD5"/>
      </x:patternFill>
    </x:fill>
    <x:fill>
      <x:patternFill patternType="solid">
        <x:fgColor rgb="FFFFF2CC"/>
      </x:patternFill>
    </x:fill>
    <x:fill>
      <x:patternFill patternType="solid">
        <x:fgColor rgb="FFFFFFFF"/>
      </x:patternFill>
    </x:fill>
    <x:fill>
      <x:patternFill patternType="solid">
        <x:fgColor rgb="FFFCE4D6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5B9BD5"/>
      </x:patternFill>
    </x:fill>
    <x:fill>
      <x:patternFill patternType="solid">
        <x:fgColor rgb="FFFFF2CC"/>
      </x:patternFill>
    </x:fill>
  </x:fills>
  <x:borders count="6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 diagonalUp="0" diagonalDown="0">
      <x:left style="none"/>
      <x:right style="thin">
        <x:color rgb="FFD9E2F3"/>
      </x:right>
      <x:top style="none"/>
      <x:bottom style="none"/>
    </x:border>
    <x:border diagonalUp="0" diagonalDown="0">
      <x:left style="thin">
        <x:color rgb="FFD9E2F3"/>
      </x:left>
      <x:right style="thin">
        <x:color rgb="FFD9E2F3"/>
      </x:right>
      <x:top style="none"/>
      <x:bottom style="none"/>
    </x:border>
    <x:border diagonalUp="0" diagonalDown="0">
      <x:left style="thin">
        <x:color rgb="FFD9E2F3"/>
      </x:left>
      <x:right style="none"/>
      <x:top style="none"/>
      <x:bottom style="none"/>
    </x:border>
    <x:border diagonalUp="0" diagonalDown="0"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6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200" fontId="0" fillId="0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4" borderId="1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wrapText="1"/>
    </x:xf>
    <x:xf numFmtId="0" fontId="3" fillId="6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1" fillId="7" borderId="1" xfId="0" applyNumberFormat="1" applyFont="1" applyFill="1" applyBorder="1" applyAlignment="1">
      <x:alignment wrapText="1"/>
    </x:xf>
    <x:xf numFmtId="0" fontId="2" fillId="8" borderId="1" xfId="0" applyNumberFormat="1" applyFont="1" applyFill="1" applyBorder="1" applyAlignment="1">
      <x:alignment wrapText="1"/>
    </x:xf>
    <x:xf numFmtId="0" fontId="1" fillId="9" borderId="1" xfId="0" applyNumberFormat="1" applyFont="1" applyFill="1" applyBorder="1" applyAlignment="1">
      <x:alignment wrapText="1"/>
    </x:xf>
    <x:xf numFmtId="0" fontId="0" fillId="9" borderId="1" xfId="0" applyNumberFormat="1" applyFont="1" applyFill="1" applyBorder="1" applyAlignment="1">
      <x:alignment wrapText="1"/>
    </x:xf>
    <x:xf numFmtId="200" fontId="0" fillId="9" borderId="1" xfId="0" applyNumberFormat="1" applyFont="1" applyFill="1" applyBorder="1" applyAlignment="1">
      <x:alignment wrapText="1"/>
    </x:xf>
    <x:xf numFmtId="200" fontId="1" fillId="9" borderId="1" xfId="0" applyNumberFormat="1" applyFont="1" applyFill="1" applyBorder="1" applyAlignment="1">
      <x:alignment wrapText="1"/>
    </x:xf>
    <x:xf numFmtId="0" fontId="0" fillId="10" borderId="1" xfId="0" applyNumberFormat="1" applyFont="1" applyFill="1" applyBorder="1" applyAlignment="1">
      <x:alignment wrapText="1"/>
    </x:xf>
    <x:xf numFmtId="0" fontId="3" fillId="10" borderId="1" xfId="0" applyNumberFormat="1" applyFont="1" applyFill="1" applyBorder="1" applyAlignment="1">
      <x:alignment wrapText="1"/>
    </x:xf>
    <x:xf numFmtId="0" fontId="1" fillId="11" borderId="1" xfId="0" applyNumberFormat="1" applyFont="1" applyFill="1" applyBorder="1" applyAlignment="1">
      <x:alignment wrapText="1"/>
    </x:xf>
    <x:xf numFmtId="0" fontId="4" fillId="11" borderId="1" xfId="0" applyNumberFormat="1" applyFont="1" applyFill="1" applyBorder="1" applyAlignment="1">
      <x:alignment wrapText="1"/>
    </x:xf>
    <x:xf numFmtId="0" fontId="4" fillId="11" borderId="2" xfId="0" applyNumberFormat="1" applyFont="1" applyFill="1" applyBorder="1" applyAlignment="1">
      <x:alignment wrapText="1"/>
    </x:xf>
    <x:xf numFmtId="0" fontId="4" fillId="11" borderId="3" xfId="0" applyNumberFormat="1" applyFont="1" applyFill="1" applyBorder="1" applyAlignment="1">
      <x:alignment wrapText="1"/>
    </x:xf>
    <x:xf numFmtId="0" fontId="4" fillId="11" borderId="4" xfId="0" applyNumberFormat="1" applyFont="1" applyFill="1" applyBorder="1" applyAlignment="1">
      <x:alignment wrapText="1"/>
    </x:xf>
    <x:xf numFmtId="0" fontId="4" fillId="11" borderId="5" xfId="0" applyNumberFormat="1" applyFont="1" applyFill="1" applyBorder="1" applyAlignment="1">
      <x:alignment wrapText="1"/>
    </x:xf>
    <x:xf numFmtId="0" fontId="4" fillId="12" borderId="5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202" fontId="0" fillId="0" borderId="1" xfId="0" applyNumberFormat="1" applyFont="1" applyFill="1" applyBorder="1" applyAlignment="1">
      <x:alignment wrapText="1"/>
    </x:xf>
    <x:xf numFmtId="0" fontId="0" fillId="13" borderId="0" xfId="0" applyNumberFormat="1" applyFont="1" applyFill="1" applyBorder="1"/>
    <x:xf numFmtId="0" fontId="5" fillId="13" borderId="0" xfId="0" applyNumberFormat="1" applyFont="1" applyFill="1" applyBorder="1"/>
    <x:xf numFmtId="0" fontId="5" fillId="13" borderId="0" xfId="0" applyNumberFormat="1" applyFont="1" applyFill="1" applyBorder="1" applyAlignment="1">
      <x:alignment vertical="center"/>
    </x:xf>
    <x:xf numFmtId="0" fontId="0" fillId="14" borderId="0" xfId="0" applyNumberFormat="1" applyFont="1" applyFill="1" applyBorder="1"/>
    <x:xf numFmtId="0" fontId="2" fillId="14" borderId="0" xfId="0" applyNumberFormat="1" applyFont="1" applyFill="1" applyBorder="1"/>
    <x:xf numFmtId="0" fontId="2" fillId="14" borderId="0" xfId="0" applyNumberFormat="1" applyFont="1" applyFill="1" applyBorder="1" applyAlignment="1">
      <x:alignment wrapText="1"/>
    </x:xf>
    <x:xf numFmtId="0" fontId="2" fillId="14" borderId="0" xfId="0" applyNumberFormat="1" applyFont="1" applyFill="1" applyBorder="1" applyAlignment="1">
      <x:alignment vertical="center" wrapText="1"/>
    </x:xf>
    <x:xf numFmtId="0" fontId="0" fillId="15" borderId="0" xfId="0" applyNumberFormat="1" applyFont="1" applyFill="1" applyBorder="1"/>
    <x:xf numFmtId="0" fontId="1" fillId="15" borderId="0" xfId="0" applyNumberFormat="1" applyFont="1" applyFill="1" applyBorder="1"/>
    <x:xf numFmtId="0" fontId="1" fillId="15" borderId="0" xfId="0" applyNumberFormat="1" applyFont="1" applyFill="1" applyBorder="1" applyAlignment="1">
      <x:alignment wrapText="1"/>
    </x:xf>
    <x:xf numFmtId="0" fontId="1" fillId="15" borderId="0" xfId="0" applyNumberFormat="1" applyFont="1" applyFill="1" applyBorder="1" applyAlignment="1">
      <x:alignment vertical="center" wrapText="1"/>
    </x:xf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6" fillId="0" borderId="0" xfId="0" applyNumberFormat="1" applyFont="1" applyFill="1" applyBorder="1" applyAlignment="1">
      <x:alignment vertical="top" wrapText="1"/>
    </x:xf>
    <x:xf numFmtId="0" fontId="6" fillId="16" borderId="0" xfId="0" applyNumberFormat="1" applyFont="1" applyFill="1" applyBorder="1" applyAlignment="1">
      <x:alignment vertical="top" wrapText="1"/>
    </x:xf>
    <x:xf numFmtId="0" fontId="7" fillId="13" borderId="0" xfId="0" applyNumberFormat="1" applyFont="1" applyFill="1" applyBorder="1"/>
    <x:xf numFmtId="0" fontId="7" fillId="13" borderId="0" xfId="0" applyNumberFormat="1" applyFont="1" applyFill="1" applyBorder="1" applyAlignment="1">
      <x:alignment vertical="center"/>
    </x:xf>
    <x:xf numFmtId="0" fontId="1" fillId="15" borderId="1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 wrapText="1"/>
    </x:xf>
    <x:xf numFmtId="0" fontId="6" fillId="16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07adb2aeeb8417f" /><Relationship Type="http://schemas.openxmlformats.org/officeDocument/2006/relationships/theme" Target="/xl/theme/theme1.xml" Id="R76a8331dbc9e49ce" /><Relationship Type="http://schemas.openxmlformats.org/officeDocument/2006/relationships/sharedStrings" Target="/xl/sharedStrings.xml" Id="Ra60b2a40853d4bcd" /><Relationship Type="http://schemas.openxmlformats.org/officeDocument/2006/relationships/worksheet" Target="/xl/worksheets/sheet1.xml" Id="R7924b30359f44142" /><Relationship Type="http://schemas.openxmlformats.org/officeDocument/2006/relationships/worksheet" Target="/xl/worksheets/sheet2.xml" Id="R891b185b7ce24a34" /><Relationship Type="http://schemas.openxmlformats.org/officeDocument/2006/relationships/worksheet" Target="/xl/worksheets/sheet3.xml" Id="R126646af828f425b" /><Relationship Type="http://schemas.openxmlformats.org/officeDocument/2006/relationships/worksheet" Target="/xl/worksheets/sheet4.xml" Id="Ra0156d3bdff14658" /></Relationships>
</file>

<file path=xl/tables/table1.xml><?xml version="1.0" encoding="utf-8"?>
<x:table xmlns:x="http://schemas.openxmlformats.org/spreadsheetml/2006/main" id="1" name="HerbivoreUpgradePathsTable" displayName="HerbivoreUpgradePathsTable" ref="A4:G8" headerRowCount="1" totalsRowCount="0" totalsRowShown="0">
  <x:tableColumns count="7">
    <x:tableColumn id="1" name="Upgrade"/>
    <x:tableColumn id="2" name="Upgrade ID"/>
    <x:tableColumn id="3" name="Per-Level Rule Change"/>
    <x:tableColumn id="4" name="Resolver Rule"/>
    <x:tableColumn id="5" name="Primary Slash-Line Target"/>
    <x:tableColumn id="6" name="Expected Outcome"/>
    <x:tableColumn id="7" name="Secondary Effect / Tradeoff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HerbivoreUpgradeOfferRulesTable" displayName="HerbivoreUpgradeOfferRulesTable" ref="A12:C17" headerRowCount="1" totalsRowCount="0" totalsRowShown="0">
  <x:tableColumns count="3">
    <x:tableColumn id="1" name="Stage"/>
    <x:tableColumn id="2" name="Implemented Rule"/>
    <x:tableColumn id="3" name="Design Purpos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1.xml" Id="R926960ffc6294eeb" /><Relationship Type="http://schemas.openxmlformats.org/officeDocument/2006/relationships/table" Target="/xl/tables/table2.xml" Id="Rb7086a2f1ba149ed" /></Relationships>
</file>

<file path=xl/worksheets/sheet1.xml><?xml version="1.0" encoding="utf-8"?>
<x:worksheet xmlns:x="http://schemas.openxmlformats.org/spreadsheetml/2006/main">
  <x:sheetFormatPr defaultRowHeight="14.5"/>
  <x:cols>
    <x:col min="1" max="1" width="31" hidden="0" customWidth="1"/>
    <x:col min="3" max="3" width="70" hidden="0" customWidth="1"/>
    <x:col min="4" max="4" width="94" hidden="0" customWidth="1"/>
    <x:col min="2" max="2" width="12" hidden="0" customWidth="1"/>
  </x:cols>
  <x:sheetData>
    <x:row r="1" ht="14.5" hidden="0" customHeight="1">
      <x:c r="A1" s="14" t="str">
        <x:v>Starting Population</x:v>
      </x:c>
      <x:c r="B1" s="14" t="str">
        <x:v>SPO</x:v>
      </x:c>
      <x:c r="C1" s="14" t="str">
        <x:v># of starting Population</x:v>
      </x:c>
      <x:c r="D1" s="14" t="str">
        <x:v>Baseline population count</x:v>
      </x:c>
    </x:row>
    <x:row r="2" ht="14.5" hidden="0" customHeight="1">
      <x:c r="A2" s="14" t="str">
        <x:v>Predator-Active Herbivore Steps</x:v>
      </x:c>
      <x:c r="B2" s="14" t="str">
        <x:v>HPS</x:v>
      </x:c>
      <x:c r="C2" s="14" t="str">
        <x:v>Sum of living herbivores across every step where at least one carnivore is present</x:v>
      </x:c>
      <x:c r="D2" s="14" t="str">
        <x:v>Population-normalized opportunity for predator avoidance; HPS=0 means N/A</x:v>
      </x:c>
    </x:row>
    <x:row r="3" ht="26.399999618530273" hidden="0" customHeight="1">
      <x:c r="A3" s="14" t="str">
        <x:v>Encountered Herbivore Steps</x:v>
      </x:c>
      <x:c r="B3" s="14" t="str">
        <x:v>EHS</x:v>
      </x:c>
      <x:c r="C3" s="14" t="str">
        <x:v>Total # of herbivore-step instances where that herbivore experienced at least one carnivore encounter</x:v>
      </x:c>
      <x:c r="D3" s="14" t="str">
        <x:v>Count each herbivore at most once per step; EHS cannot exceed HPS</x:v>
      </x:c>
    </x:row>
    <x:row r="4" ht="14.5" hidden="0" customHeight="1">
      <x:c r="A4" s="14" t="str">
        <x:v>Encounters</x:v>
      </x:c>
      <x:c r="B4" s="14" t="str">
        <x:v>ECN</x:v>
      </x:c>
      <x:c r="C4" s="14" t="str">
        <x:v>Total # of interactions between an herbivore species and carnivores</x:v>
      </x:c>
      <x:c r="D4" s="14" t="str">
        <x:v>Raw interaction counter; multiple encounters can occur within one herbivore-step</x:v>
      </x:c>
    </x:row>
    <x:row r="5" ht="14.5" hidden="0" customHeight="1">
      <x:c r="A5" s="14" t="str">
        <x:v>Preyed</x:v>
      </x:c>
      <x:c r="B5" s="14" t="str">
        <x:v>PREY</x:v>
      </x:c>
      <x:c r="C5" s="14" t="str">
        <x:v>Total # of times a carnivore killed the herbivore species</x:v>
      </x:c>
      <x:c r="D5" s="14" t="str">
        <x:v>Adverse event counter</x:v>
      </x:c>
    </x:row>
    <x:row r="6" ht="14.5" hidden="0" customHeight="1">
      <x:c r="A6" s="14" t="str">
        <x:v>Starved</x:v>
      </x:c>
      <x:c r="B6" s="14" t="str">
        <x:v>STRV</x:v>
      </x:c>
      <x:c r="C6" s="14" t="str">
        <x:v>Total # of times the herbivore species starved to death</x:v>
      </x:c>
      <x:c r="D6" s="14" t="str">
        <x:v>Adverse event counter</x:v>
      </x:c>
    </x:row>
    <x:row r="7" ht="14.5" hidden="0" customHeight="1">
      <x:c r="A7" s="14" t="str">
        <x:v>Mating</x:v>
      </x:c>
      <x:c r="B7" s="14" t="str">
        <x:v>MAT</x:v>
      </x:c>
      <x:c r="C7" s="14" t="str">
        <x:v>Total # of times a herbivore species attempted to mate</x:v>
      </x:c>
      <x:c r="D7" s="14" t="str">
        <x:v>Mating opportunity counter</x:v>
      </x:c>
    </x:row>
    <x:row r="8" ht="14.5" hidden="0" customHeight="1">
      <x:c r="A8" s="14" t="str">
        <x:v>Births</x:v>
      </x:c>
      <x:c r="B8" s="14" t="str">
        <x:v>BIR</x:v>
      </x:c>
      <x:c r="C8" s="14" t="str">
        <x:v>Total # of successful Births</x:v>
      </x:c>
      <x:c r="D8" s="14" t="str">
        <x:v>Successful outcome counter</x:v>
      </x:c>
    </x:row>
    <x:row r="9" ht="14.5" hidden="0" customHeight="1">
      <x:c r="A9" s="14" t="str">
        <x:v>Crowding</x:v>
      </x:c>
      <x:c r="B9" s="14" t="str">
        <x:v>CRWD</x:v>
      </x:c>
      <x:c r="C9" s="14" t="str">
        <x:v>Total # of Crowding Deaths</x:v>
      </x:c>
      <x:c r="D9" s="14" t="str">
        <x:v>Adverse event counter</x:v>
      </x:c>
    </x:row>
    <x:row r="10" ht="14.5" hidden="0" customHeight="1">
      <x:c r="A10" s="14" t="str">
        <x:v>Final Population</x:v>
      </x:c>
      <x:c r="B10" s="14" t="str">
        <x:v>FPO</x:v>
      </x:c>
      <x:c r="C10" s="14" t="str">
        <x:v>SPO + BIR - PREY - STRV - CRWD</x:v>
      </x:c>
      <x:c r="D10" s="14" t="str">
        <x:v>Population conservation/reconciliation formula</x:v>
      </x:c>
    </x:row>
    <x:row r="11" ht="14.5" hidden="0" customHeight="1">
      <x:c r="A11" s="14" t="str">
        <x:v>Inverse Preyed Average</x:v>
      </x:c>
      <x:c r="B11" s="14" t="str">
        <x:v>pAVI</x:v>
      </x:c>
      <x:c r="C11" s="14" t="str">
        <x:v>1-(PREY/ECN)</x:v>
      </x:c>
      <x:c r="D11" s="14" t="str">
        <x:v>Survival after contact; ECN=0 means N/A</x:v>
      </x:c>
    </x:row>
    <x:row r="12" ht="14.5" hidden="0" customHeight="1">
      <x:c r="A12" s="14" t="str">
        <x:v>Inverse Encounter Average</x:v>
      </x:c>
      <x:c r="B12" s="14" t="str">
        <x:v>eAVI</x:v>
      </x:c>
      <x:c r="C12" s="14" t="str">
        <x:v>1-(EHS/HPS)</x:v>
      </x:c>
      <x:c r="D12" s="14" t="str">
        <x:v>Encounter avoidance; HPS=0 means N/A, while HPS&gt;0 and EHS=0 is a valid 1</x:v>
      </x:c>
    </x:row>
    <x:row r="13" ht="14.5" hidden="0" customHeight="1">
      <x:c r="A13" s="14" t="str">
        <x:v>Predation Average</x:v>
      </x:c>
      <x:c r="B13" s="14" t="str">
        <x:v>predAVG</x:v>
      </x:c>
      <x:c r="C13" s="14" t="str">
        <x:v>Average of applicable pAVI and eAVI</x:v>
      </x:c>
      <x:c r="D13" s="14" t="str">
        <x:v>APS predation component; use the one valid value when the other is N/A; both N/A is neutral</x:v>
      </x:c>
    </x:row>
    <x:row r="14" ht="14.5" hidden="0" customHeight="1">
      <x:c r="A14" s="14" t="str">
        <x:v>Inverse Starved Average</x:v>
      </x:c>
      <x:c r="B14" s="14" t="str">
        <x:v>sAVI</x:v>
      </x:c>
      <x:c r="C14" s="14" t="str">
        <x:v>1-(STRV/SPO+BIR-PREY)</x:v>
      </x:c>
      <x:c r="D14" s="14" t="str">
        <x:v>Inverse exposure rate; zero exposure means N/A, with starvation penalty 0 in APS</x:v>
      </x:c>
    </x:row>
    <x:row r="15" ht="14.5" hidden="0" customHeight="1">
      <x:c r="A15" s="14" t="str">
        <x:v>Inverse Crowding Average</x:v>
      </x:c>
      <x:c r="B15" s="14" t="str">
        <x:v>cAVI</x:v>
      </x:c>
      <x:c r="C15" s="14" t="str">
        <x:v>1-(CRWD/SPO+BIR-PREY-STRV)</x:v>
      </x:c>
      <x:c r="D15" s="14" t="str">
        <x:v>Inverse exposure rate; zero exposure means N/A, with crowding penalty 0 in APS</x:v>
      </x:c>
    </x:row>
    <x:row r="16" ht="14.5" hidden="0" customHeight="1">
      <x:c r="A16" s="14" t="str">
        <x:v>Birth Average</x:v>
      </x:c>
      <x:c r="B16" s="14" t="str">
        <x:v>bAVG</x:v>
      </x:c>
      <x:c r="C16" s="14" t="str">
        <x:v>BIR/MAT</x:v>
      </x:c>
      <x:c r="D16" s="14" t="str">
        <x:v>Success-per-opportunity rate; MAT=0 means N/A</x:v>
      </x:c>
    </x:row>
    <x:row r="17" ht="14.5" hidden="0" customHeight="1">
      <x:c r="A17" s="14" t="str">
        <x:v>Replication Fitness Score</x:v>
      </x:c>
      <x:c r="B17" s="14" t="str">
        <x:v>RFS</x:v>
      </x:c>
      <x:c r="C17" s="14" t="str">
        <x:v>(FPO-SPO)*bAVG</x:v>
      </x:c>
      <x:c r="D17" s="14" t="str">
        <x:v>Derived replication score; valid zero bAVG remains a zero multiplier; no birth opportunity is N/A</x:v>
      </x:c>
    </x:row>
    <x:row r="18" ht="14.5" hidden="0" customHeight="1">
      <x:c r="A18" s="14"/>
      <x:c r="B18" s="14"/>
      <x:c r="C18" s="14"/>
      <x:c r="D18" s="14"/>
    </x:row>
    <x:row r="19" ht="14.5" hidden="0" customHeight="1">
      <x:c r="A19" s="14" t="str">
        <x:v>Actual Prey Score</x:v>
      </x:c>
      <x:c r="B19" s="14" t="str">
        <x:v>APS</x:v>
      </x:c>
      <x:c r="C19" s="14" t="str">
        <x:v>RFS+predAVG-(1-sAVI)-(1-cAVI)</x:v>
      </x:c>
      <x:c r="D19" s="14" t="str">
        <x:v>Composite score; predAVG replaces the lone pAVI term so avoidance and encounter survival share one 0-1 contribution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4.5"/>
  <x:sheetData/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2" hidden="0" customWidth="1"/>
    <x:col min="3" max="3" width="20" hidden="0" customWidth="1"/>
    <x:col min="4" max="4" width="20" hidden="0" customWidth="1"/>
    <x:col min="5" max="5" width="18" hidden="0" customWidth="1"/>
    <x:col min="6" max="6" width="18" hidden="0" customWidth="1"/>
    <x:col min="7" max="7" width="58" hidden="0" customWidth="1"/>
  </x:cols>
  <x:sheetData>
    <x:row r="1" ht="15" hidden="0" customHeight="1">
      <x:c r="A1" s="26" t="str">
        <x:v>Independent Herbivore Stat Calculator</x:v>
      </x:c>
      <x:c r="B1" s="26"/>
      <x:c r="C1" s="26"/>
      <x:c r="D1" s="26"/>
      <x:c r="E1" s="26"/>
      <x:c r="F1" s="26"/>
      <x:c r="G1" s="26"/>
    </x:row>
    <x:row r="2" ht="15" hidden="0" customHeight="1">
      <x:c r="A2" s="27" t="str">
        <x:v>Paste raw counts from an actual simulation report into the yellow Value cells. Derived results use independent formulas.</x:v>
      </x:c>
      <x:c r="B2" s="27"/>
      <x:c r="C2" s="27"/>
      <x:c r="D2" s="27"/>
      <x:c r="E2" s="27"/>
      <x:c r="F2" s="27"/>
      <x:c r="G2" s="27"/>
    </x:row>
    <x:row r="3" ht="15" hidden="0" customHeight="1">
      <x:c r="A3" s="20"/>
      <x:c r="B3" s="20"/>
      <x:c r="C3" s="20"/>
      <x:c r="D3" s="20"/>
      <x:c r="E3" s="20"/>
      <x:c r="F3" s="20"/>
      <x:c r="G3" s="20"/>
    </x:row>
    <x:row r="4" ht="15" hidden="0" customHeight="1">
      <x:c r="A4" s="28" t="str">
        <x:v>Raw simulation count</x:v>
      </x:c>
      <x:c r="B4" s="28" t="str">
        <x:v>Value</x:v>
      </x:c>
      <x:c r="C4" s="20"/>
      <x:c r="D4" s="20"/>
      <x:c r="E4" s="20"/>
      <x:c r="F4" s="20"/>
      <x:c r="G4" s="20"/>
    </x:row>
    <x:row r="5" ht="15" hidden="0" customHeight="1">
      <x:c r="A5" s="20" t="str">
        <x:v>SPO</x:v>
      </x:c>
      <x:c r="B5" s="32"/>
      <x:c r="C5" s="20"/>
      <x:c r="D5" s="20"/>
      <x:c r="E5" s="20"/>
      <x:c r="F5" s="20"/>
      <x:c r="G5" s="20"/>
    </x:row>
    <x:row r="6" ht="15" hidden="0" customHeight="1">
      <x:c r="A6" s="20" t="str">
        <x:v>HPS</x:v>
      </x:c>
      <x:c r="B6" s="32"/>
      <x:c r="C6" s="20"/>
      <x:c r="D6" s="20"/>
      <x:c r="E6" s="20"/>
      <x:c r="F6" s="20"/>
      <x:c r="G6" s="20"/>
    </x:row>
    <x:row r="7" ht="15" hidden="0" customHeight="1">
      <x:c r="A7" s="20" t="str">
        <x:v>EHS</x:v>
      </x:c>
      <x:c r="B7" s="32"/>
      <x:c r="C7" s="20"/>
      <x:c r="D7" s="20"/>
      <x:c r="E7" s="20"/>
      <x:c r="F7" s="20"/>
      <x:c r="G7" s="20"/>
    </x:row>
    <x:row r="8" ht="15" hidden="0" customHeight="1">
      <x:c r="A8" s="20" t="str">
        <x:v>ECN</x:v>
      </x:c>
      <x:c r="B8" s="32"/>
      <x:c r="C8" s="20"/>
      <x:c r="D8" s="20"/>
      <x:c r="E8" s="20"/>
      <x:c r="F8" s="20"/>
      <x:c r="G8" s="20"/>
    </x:row>
    <x:row r="9" ht="15" hidden="0" customHeight="1">
      <x:c r="A9" s="20" t="str">
        <x:v>PREY</x:v>
      </x:c>
      <x:c r="B9" s="32"/>
      <x:c r="C9" s="20"/>
      <x:c r="D9" s="20"/>
      <x:c r="E9" s="20"/>
      <x:c r="F9" s="20"/>
      <x:c r="G9" s="20"/>
    </x:row>
    <x:row r="10" ht="15" hidden="0" customHeight="1">
      <x:c r="A10" s="20" t="str">
        <x:v>STRV</x:v>
      </x:c>
      <x:c r="B10" s="32"/>
      <x:c r="C10" s="20"/>
      <x:c r="D10" s="20"/>
      <x:c r="E10" s="20"/>
      <x:c r="F10" s="20"/>
      <x:c r="G10" s="20"/>
    </x:row>
    <x:row r="11" ht="15" hidden="0" customHeight="1">
      <x:c r="A11" s="20" t="str">
        <x:v>MAT</x:v>
      </x:c>
      <x:c r="B11" s="32"/>
      <x:c r="C11" s="20"/>
      <x:c r="D11" s="20"/>
      <x:c r="E11" s="20"/>
      <x:c r="F11" s="20"/>
      <x:c r="G11" s="20"/>
    </x:row>
    <x:row r="12" ht="15" hidden="0" customHeight="1">
      <x:c r="A12" s="20" t="str">
        <x:v>BIR</x:v>
      </x:c>
      <x:c r="B12" s="32"/>
      <x:c r="C12" s="20"/>
      <x:c r="D12" s="20"/>
      <x:c r="E12" s="20"/>
      <x:c r="F12" s="20"/>
      <x:c r="G12" s="20"/>
    </x:row>
    <x:row r="13" ht="15" hidden="0" customHeight="1">
      <x:c r="A13" s="20" t="str">
        <x:v>CRWD</x:v>
      </x:c>
      <x:c r="B13" s="33"/>
      <x:c r="C13" s="20"/>
      <x:c r="D13" s="20"/>
      <x:c r="E13" s="20"/>
      <x:c r="F13" s="20"/>
      <x:c r="G13" s="20"/>
    </x:row>
    <x:row r="14" ht="15" hidden="0" customHeight="1">
      <x:c r="A14" s="20" t="str">
        <x:v>FPO</x:v>
      </x:c>
      <x:c r="B14" s="32"/>
      <x:c r="C14" s="20"/>
      <x:c r="D14" s="20"/>
      <x:c r="E14" s="20"/>
      <x:c r="F14" s="20"/>
      <x:c r="G14" s="20"/>
    </x:row>
    <x:row r="15" ht="26.399999618530273" hidden="0" customHeight="1">
      <x:c r="A15" s="39" t="str">
        <x:v>Input status</x:v>
      </x:c>
      <x:c r="B15" s="40" t="str">
        <x:f>IF(COUNT(B5:B14)=10,"READY","AWAITING RAW COUNTS")</x:f>
        <x:v>AWAITING RAW COUNTS</x:v>
      </x:c>
      <x:c r="C15" s="37"/>
      <x:c r="D15" s="37"/>
      <x:c r="E15" s="37"/>
      <x:c r="F15" s="37"/>
      <x:c r="G15" s="38"/>
    </x:row>
    <x:row r="16" ht="15" hidden="0" customHeight="1">
      <x:c r="A16" s="20"/>
      <x:c r="B16" s="20"/>
      <x:c r="C16" s="20"/>
      <x:c r="D16" s="20"/>
      <x:c r="E16" s="24"/>
      <x:c r="F16" s="20"/>
      <x:c r="G16" s="20"/>
    </x:row>
    <x:row r="17" ht="15" hidden="0" customHeight="1">
      <x:c r="A17" s="28" t="str">
        <x:v>Metric</x:v>
      </x:c>
      <x:c r="B17" s="28" t="str">
        <x:v>Code</x:v>
      </x:c>
      <x:c r="C17" s="28" t="str">
        <x:v>Numerator / net change</x:v>
      </x:c>
      <x:c r="D17" s="28" t="str">
        <x:v>Denominator / multiplier</x:v>
      </x:c>
      <x:c r="E17" s="31" t="str">
        <x:v>Independent result</x:v>
      </x:c>
      <x:c r="F17" s="28" t="str">
        <x:v>Status</x:v>
      </x:c>
      <x:c r="G17" s="28" t="str">
        <x:v>Contract</x:v>
      </x:c>
    </x:row>
    <x:row r="18" ht="15" hidden="0" customHeight="1">
      <x:c r="A18" s="20" t="str">
        <x:v>Final Population</x:v>
      </x:c>
      <x:c r="B18" s="20" t="str">
        <x:v>FPO</x:v>
      </x:c>
      <x:c r="C18" s="41" t="n">
        <x:f>B14</x:f>
        <x:v>0</x:v>
      </x:c>
      <x:c r="D18" s="41" t="n">
        <x:f>B5+B12-B9-B10-B13</x:f>
        <x:v>0</x:v>
      </x:c>
      <x:c r="E18" s="24" t="str">
        <x:f>IF($B$15&lt;&gt;"READY","",C18)</x:f>
      </x:c>
      <x:c r="F18" s="20" t="str">
        <x:f>IF($B$15&lt;&gt;"READY","",IF(C18=D18,"VALID","INVALID"))</x:f>
      </x:c>
      <x:c r="G18" s="20" t="str">
        <x:v>SPO+BIR-PREY-STRV-CRWD; must reconcile to FPO</x:v>
      </x:c>
    </x:row>
    <x:row r="19" ht="15" hidden="0" customHeight="1">
      <x:c r="A19" s="20" t="str">
        <x:v>Inverse Preyed Average</x:v>
      </x:c>
      <x:c r="B19" s="20" t="str">
        <x:v>pAVI</x:v>
      </x:c>
      <x:c r="C19" s="41" t="n">
        <x:f>B9</x:f>
        <x:v>0</x:v>
      </x:c>
      <x:c r="D19" s="41" t="n">
        <x:f>B8</x:f>
        <x:v>0</x:v>
      </x:c>
      <x:c r="E19" s="42" t="str">
        <x:f>IF($B$15&lt;&gt;"READY","",IF(F19="VALID",1-C19/D19,""))</x:f>
      </x:c>
      <x:c r="F19" s="20" t="str">
        <x:f>IF($B$15&lt;&gt;"READY","",IF(OR(C19&lt;0,D19&lt;0,C19&gt;D19),"INVALID",IF(D19=0,IF(C19=0,"N/A","INVALID"),"VALID")))</x:f>
      </x:c>
      <x:c r="G19" s="20" t="str">
        <x:v>1-PREY/ECN; measures survival after contact</x:v>
      </x:c>
    </x:row>
    <x:row r="20" ht="15" hidden="0" customHeight="1">
      <x:c r="A20" s="20" t="str">
        <x:v>Inverse Encounter Average</x:v>
      </x:c>
      <x:c r="B20" s="20" t="str">
        <x:v>eAVI</x:v>
      </x:c>
      <x:c r="C20" s="41" t="n">
        <x:f>B7</x:f>
        <x:v>0</x:v>
      </x:c>
      <x:c r="D20" s="41" t="n">
        <x:f>B6</x:f>
        <x:v>0</x:v>
      </x:c>
      <x:c r="E20" s="42" t="str">
        <x:f>IF($B$15&lt;&gt;"READY","",IF(F20="VALID",1-C20/D20,""))</x:f>
      </x:c>
      <x:c r="F20" s="20" t="str">
        <x:f>IF($B$15&lt;&gt;"READY","",IF(OR(C20&lt;0,D20&lt;0,C20&gt;D20),"INVALID",IF(D20=0,IF(C20=0,"N/A","INVALID"),"VALID")))</x:f>
      </x:c>
      <x:c r="G20" s="20" t="str">
        <x:v>1-EHS/HPS; measures population-normalized encounter avoidance</x:v>
      </x:c>
    </x:row>
    <x:row r="21" ht="26.399999618530273" hidden="0" customHeight="1">
      <x:c r="A21" s="20" t="str">
        <x:v>Predation Average</x:v>
      </x:c>
      <x:c r="B21" s="20" t="str">
        <x:v>predAVG</x:v>
      </x:c>
      <x:c r="C21" s="41" t="str">
        <x:f>E19</x:f>
      </x:c>
      <x:c r="D21" s="41" t="str">
        <x:f>E20</x:f>
      </x:c>
      <x:c r="E21" s="42" t="str">
        <x:f>IF($B$15&lt;&gt;"READY","",IF(F21&lt;&gt;"VALID","",IF(AND(F19="VALID",F20="VALID"),AVERAGE(E19,E20),IF(F19="VALID",E19,E20))))</x:f>
      </x:c>
      <x:c r="F21" s="20" t="str">
        <x:f>IF($B$15&lt;&gt;"READY","",IF(OR(F19="INVALID",F20="INVALID"),"INVALID",IF(AND(F19="N/A",F20="N/A"),"N/A","VALID")))</x:f>
      </x:c>
      <x:c r="G21" s="20" t="str">
        <x:v>Average applicable pAVI and eAVI; one valid component stands alone; both N/A is neutral</x:v>
      </x:c>
    </x:row>
    <x:row r="22" ht="15" hidden="0" customHeight="1">
      <x:c r="A22" s="20" t="str">
        <x:v>Inverse Starved Average</x:v>
      </x:c>
      <x:c r="B22" s="20" t="str">
        <x:v>sAVI</x:v>
      </x:c>
      <x:c r="C22" s="41" t="n">
        <x:f>B10</x:f>
        <x:v>0</x:v>
      </x:c>
      <x:c r="D22" s="41" t="n">
        <x:f>B5+B12-B9</x:f>
        <x:v>0</x:v>
      </x:c>
      <x:c r="E22" s="42" t="str">
        <x:f>IF($B$15&lt;&gt;"READY","",IF(F22="VALID",1-C22/D22,""))</x:f>
      </x:c>
      <x:c r="F22" s="20" t="str">
        <x:f>IF($B$15&lt;&gt;"READY","",IF(OR(C22&lt;0,D22&lt;0,C22&gt;D22),"INVALID",IF(D22=0,IF(C22=0,"N/A","INVALID"),"VALID")))</x:f>
      </x:c>
      <x:c r="G22" s="20" t="str">
        <x:v>1-STRV/(SPO+BIR-PREY); N/A is neutral in APS</x:v>
      </x:c>
    </x:row>
    <x:row r="23" ht="15" hidden="0" customHeight="1">
      <x:c r="A23" s="20" t="str">
        <x:v>Inverse Crowding Average</x:v>
      </x:c>
      <x:c r="B23" s="20" t="str">
        <x:v>cAVI</x:v>
      </x:c>
      <x:c r="C23" s="41" t="n">
        <x:f>B13</x:f>
        <x:v>0</x:v>
      </x:c>
      <x:c r="D23" s="41" t="n">
        <x:f>B5+B12-B9-B10</x:f>
        <x:v>0</x:v>
      </x:c>
      <x:c r="E23" s="42" t="str">
        <x:f>IF($B$15&lt;&gt;"READY","",IF(F23="VALID",1-C23/D23,""))</x:f>
      </x:c>
      <x:c r="F23" s="20" t="str">
        <x:f>IF($B$15&lt;&gt;"READY","",IF(OR(C23&lt;0,D23&lt;0,C23&gt;D23),"INVALID",IF(D23=0,IF(C23=0,"N/A","INVALID"),"VALID")))</x:f>
      </x:c>
      <x:c r="G23" s="20" t="str">
        <x:v>1-CRWD/(SPO+BIR-PREY-STRV); N/A is neutral in APS</x:v>
      </x:c>
    </x:row>
    <x:row r="24" ht="15" hidden="0" customHeight="1">
      <x:c r="A24" s="20" t="str">
        <x:v>Birth Average</x:v>
      </x:c>
      <x:c r="B24" s="20" t="str">
        <x:v>bAVG</x:v>
      </x:c>
      <x:c r="C24" s="41" t="n">
        <x:f>B12</x:f>
        <x:v>0</x:v>
      </x:c>
      <x:c r="D24" s="41" t="n">
        <x:f>B11</x:f>
        <x:v>0</x:v>
      </x:c>
      <x:c r="E24" s="42" t="str">
        <x:f>IF($B$15&lt;&gt;"READY","",IF(F24="VALID",C24/D24,""))</x:f>
      </x:c>
      <x:c r="F24" s="20" t="str">
        <x:f>IF($B$15&lt;&gt;"READY","",IF(OR(C24&lt;0,D24&lt;0,C24&gt;D24),"INVALID",IF(D24=0,IF(C24=0,"N/A","INVALID"),"VALID")))</x:f>
      </x:c>
      <x:c r="G24" s="20" t="str">
        <x:v>BIR/MAT; valid zero is allowed when MAT&gt;0</x:v>
      </x:c>
    </x:row>
    <x:row r="25" ht="15" hidden="0" customHeight="1">
      <x:c r="A25" s="20" t="str">
        <x:v>Replication Fitness Score</x:v>
      </x:c>
      <x:c r="B25" s="20" t="str">
        <x:v>RFS</x:v>
      </x:c>
      <x:c r="C25" s="41" t="n">
        <x:f>B14-B5</x:f>
        <x:v>0</x:v>
      </x:c>
      <x:c r="D25" s="41" t="str">
        <x:f>E24</x:f>
      </x:c>
      <x:c r="E25" s="42" t="str">
        <x:f>IF($B$15&lt;&gt;"READY","",IF(F25="VALID",C25*D25,""))</x:f>
      </x:c>
      <x:c r="F25" s="20" t="str">
        <x:f>IF($B$15&lt;&gt;"READY","",IF(F24="INVALID","INVALID",IF(F24="N/A","N/A","VALID")))</x:f>
      </x:c>
      <x:c r="G25" s="20" t="str">
        <x:v>(FPO-SPO)*bAVG</x:v>
      </x:c>
    </x:row>
    <x:row r="26" ht="15" hidden="0" customHeight="1">
      <x:c r="A26" s="20" t="str">
        <x:v>Actual Prey Score</x:v>
      </x:c>
      <x:c r="B26" s="20" t="str">
        <x:v>APS</x:v>
      </x:c>
      <x:c r="C26" s="20"/>
      <x:c r="D26" s="20"/>
      <x:c r="E26" s="42" t="str">
        <x:f>IF($B$15&lt;&gt;"READY","",IF(F26="VALID",IF(F25="VALID",E25,0)+IF(F21="VALID",E21,0)-IF(F22="VALID",1-E22,0)-IF(F23="VALID",1-E23,0),""))</x:f>
      </x:c>
      <x:c r="F26" s="20" t="str">
        <x:f>IF($B$15&lt;&gt;"READY","",IF(OR(F18="INVALID",F19="INVALID",F20="INVALID",F21="INVALID",F22="INVALID",F23="INVALID",F24="INVALID",F25="INVALID"),"INVALID","VALID"))</x:f>
      </x:c>
      <x:c r="G26" s="20" t="str">
        <x:v>RFS+predAVG-(1-sAVI)-(1-cAVI); N/A neutral, INVALID propagates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7" hidden="0" customWidth="1"/>
    <x:col min="3" max="3" width="42" hidden="0" customWidth="1"/>
    <x:col min="4" max="4" width="48" hidden="0" customWidth="1"/>
    <x:col min="5" max="5" width="23" hidden="0" customWidth="1"/>
    <x:col min="6" max="6" width="43" hidden="0" customWidth="1"/>
    <x:col min="7" max="7" width="48" hidden="0" customWidth="1"/>
  </x:cols>
  <x:sheetData>
    <x:row r="1" ht="28" customHeight="1">
      <x:c r="A1" s="45" t="str">
        <x:v>BEV Experimental Herbivore Upgrade Paths</x:v>
      </x:c>
      <x:c r="B1" s="45"/>
      <x:c r="C1" s="45"/>
      <x:c r="D1" s="45"/>
      <x:c r="E1" s="45"/>
      <x:c r="F1" s="45"/>
      <x:c r="G1" s="45"/>
    </x:row>
    <x:row r="2" ht="34" customHeight="1">
      <x:c r="A2" s="49" t="str">
        <x:v>Each path changes one primary survival mechanism. Values below are implemented starting rules and remain subject to controlled balance testing.</x:v>
      </x:c>
      <x:c r="B2" s="49"/>
      <x:c r="C2" s="49"/>
      <x:c r="D2" s="49"/>
      <x:c r="E2" s="49"/>
      <x:c r="F2" s="49"/>
      <x:c r="G2" s="49"/>
    </x:row>
    <x:row r="4" ht="38" customHeight="1">
      <x:c r="A4" s="60" t="str">
        <x:v>Upgrade</x:v>
      </x:c>
      <x:c r="B4" s="60" t="str">
        <x:v>Upgrade ID</x:v>
      </x:c>
      <x:c r="C4" s="60" t="str">
        <x:v>Per-Level Rule Change</x:v>
      </x:c>
      <x:c r="D4" s="60" t="str">
        <x:v>Resolver Rule</x:v>
      </x:c>
      <x:c r="E4" s="60" t="str">
        <x:v>Primary Slash-Line Target</x:v>
      </x:c>
      <x:c r="F4" s="60" t="str">
        <x:v>Expected Outcome</x:v>
      </x:c>
      <x:c r="G4" s="60" t="str">
        <x:v>Secondary Effect / Tradeoff</x:v>
      </x:c>
    </x:row>
    <x:row r="5" ht="62" customHeight="1">
      <x:c r="A5" s="61" t="str">
        <x:v>Tough Hide</x:v>
      </x:c>
      <x:c r="B5" s="61" t="str">
        <x:v>tough-hide</x:v>
      </x:c>
      <x:c r="C5" s="61" t="str">
        <x:v>+2 BlockAmount</x:v>
      </x:c>
      <x:c r="D5" s="61" t="str">
        <x:v>Effective Block = Base Block + (Level x 2)</x:v>
      </x:c>
      <x:c r="E5" s="62" t="str">
        <x:v>pAVI</x:v>
      </x:c>
      <x:c r="F5" s="61" t="str">
        <x:v>Fewer PREY deaths per ECN; better survival after predator contact.</x:v>
      </x:c>
      <x:c r="G5" s="61" t="str">
        <x:v>Does not reduce ECN. Longer survival can create later starvation or crowding pressure.</x:v>
      </x:c>
    </x:row>
    <x:row r="6" ht="62" customHeight="1">
      <x:c r="A6" s="61" t="str">
        <x:v>Efficient Digestion</x:v>
      </x:c>
      <x:c r="B6" s="61" t="str">
        <x:v>efficient-digestion</x:v>
      </x:c>
      <x:c r="C6" s="61" t="str">
        <x:v>+1 Energy gained per successful feeding; plant consumption is unchanged</x:v>
      </x:c>
      <x:c r="D6" s="61" t="str">
        <x:v>Energy Gain = Food Energy Value + Level, capped by Maximum Energy</x:v>
      </x:c>
      <x:c r="E6" s="62" t="str">
        <x:v>sAVI and RFS</x:v>
      </x:c>
      <x:c r="F6" s="61" t="str">
        <x:v>Fewer STRV deaths and more energy available for reproduction.</x:v>
      </x:c>
      <x:c r="G6" s="61" t="str">
        <x:v>Additional births can increase CRWD. This does not reduce Metabolism.</x:v>
      </x:c>
    </x:row>
    <x:row r="7" ht="62" customHeight="1">
      <x:c r="A7" s="61" t="str">
        <x:v>Crowding Tolerance</x:v>
      </x:c>
      <x:c r="B7" s="61" t="str">
        <x:v>crowding-tolerance</x:v>
      </x:c>
      <x:c r="C7" s="61" t="str">
        <x:v>+1 crowding-only tolerated group member</x:v>
      </x:c>
      <x:c r="D7" s="61" t="str">
        <x:v>Crowding Excess = MAX(0, Group Size - Base Crowding Threshold - Level)</x:v>
      </x:c>
      <x:c r="E7" s="62" t="str">
        <x:v>cAVI</x:v>
      </x:c>
      <x:c r="F7" s="61" t="str">
        <x:v>Crowding energy penalties and CRWD begin at a denser group size.</x:v>
      </x:c>
      <x:c r="G7" s="61" t="str">
        <x:v>Mating and movement group caps remain unchanged; stress resumes above the expanded threshold.</x:v>
      </x:c>
    </x:row>
    <x:row r="8" ht="62" customHeight="1">
      <x:c r="A8" s="61" t="str">
        <x:v>Escape Artist</x:v>
      </x:c>
      <x:c r="B8" s="61" t="str">
        <x:v>escape-artist</x:v>
      </x:c>
      <x:c r="C8" s="61" t="str">
        <x:v>+0.5 Movement Speed while Fleeing only</x:v>
      </x:c>
      <x:c r="D8" s="61" t="str">
        <x:v>Flee Speed = Base Movement Speed + (Level x 0.5)</x:v>
      </x:c>
      <x:c r="E8" s="62" t="str">
        <x:v>eAVI</x:v>
      </x:c>
      <x:c r="F8" s="61" t="str">
        <x:v>Fewer future EHS relative to HPS by opening distance from predators faster.</x:v>
      </x:c>
      <x:c r="G8" s="61" t="str">
        <x:v>Attacks resolve before movement, so it cannot cancel the current ECN. Fleeing can delay feeding or mating.</x:v>
      </x:c>
    </x:row>
    <x:row r="11" ht="26" customHeight="1">
      <x:c r="A11" s="59" t="str">
        <x:v>Two-of-Four Reward Offer Rules</x:v>
      </x:c>
      <x:c r="B11" s="59"/>
      <x:c r="C11" s="59"/>
      <x:c r="D11" s="59"/>
      <x:c r="E11" s="59"/>
      <x:c r="F11" s="59"/>
      <x:c r="G11" s="59"/>
    </x:row>
    <x:row r="12" ht="34" customHeight="1">
      <x:c r="A12" s="60" t="str">
        <x:v>Stage</x:v>
      </x:c>
      <x:c r="B12" s="60" t="str">
        <x:v>Implemented Rule</x:v>
      </x:c>
      <x:c r="C12" s="60" t="str">
        <x:v>Design Purpose</x:v>
      </x:c>
    </x:row>
    <x:row r="13" ht="82" customHeight="1">
      <x:c r="A13" s="61" t="str">
        <x:v>Scope</x:v>
      </x:c>
      <x:c r="B13" s="61" t="str">
        <x:v>The four paths replace Faster / Attack / Block only when BEV Experimental Features is enabled for a herbivore player.</x:v>
      </x:c>
      <x:c r="C13" s="61" t="str">
        <x:v>Keeps default gameplay unchanged.</x:v>
      </x:c>
    </x:row>
    <x:row r="14" ht="62" customHeight="1">
      <x:c r="A14" s="61" t="str">
        <x:v>First reward</x:v>
      </x:c>
      <x:c r="B14" s="61" t="str">
        <x:v>Show two distinct paths selected deterministically from the run seed.</x:v>
      </x:c>
      <x:c r="C14" s="61" t="str">
        <x:v>Provides variation without presenting all four choices at once.</x:v>
      </x:c>
    </x:row>
    <x:row r="15" ht="62" customHeight="1">
      <x:c r="A15" s="61" t="str">
        <x:v>Later rewards</x:v>
      </x:c>
      <x:c r="B15" s="61" t="str">
        <x:v>Keep the previously chosen path in slot one; cycle slot two through the other three paths.</x:v>
      </x:c>
      <x:c r="C15" s="61" t="str">
        <x:v>Allows deliberate leveling while still presenting alternatives.</x:v>
      </x:c>
    </x:row>
    <x:row r="16" ht="62" customHeight="1">
      <x:c r="A16" s="61" t="str">
        <x:v>Level tracking</x:v>
      </x:c>
      <x:c r="B16" s="61" t="str">
        <x:v>Every successful purchase adds one level to that upgrade ID and reapplies its per-level rule change.</x:v>
      </x:c>
      <x:c r="C16" s="61" t="str">
        <x:v>Makes cumulative build strength visible on the reward and results screens.</x:v>
      </x:c>
    </x:row>
    <x:row r="17" ht="62" customHeight="1">
      <x:c r="A17" s="61" t="str">
        <x:v>Replay behavior</x:v>
      </x:c>
      <x:c r="B17" s="61" t="str">
        <x:v>The same run seed, continuing path, and offer rotation produce the same pair.</x:v>
      </x:c>
      <x:c r="C17" s="61" t="str">
        <x:v>Preserves deterministic testing and replay expectations.</x:v>
      </x:c>
    </x:row>
  </x:sheetData>
  <x:mergeCells>
    <x:mergeCell ref="A1:G1"/>
    <x:mergeCell ref="A2:G2"/>
    <x:mergeCell ref="A11:G11"/>
  </x:mergeCells>
  <x:pageMargins left="0.7" right="0.7" top="0.75" bottom="0.75" header="0.3" footer="0.3"/>
  <x:tableParts count="2">
    <x:tablePart xmlns:r="http://schemas.openxmlformats.org/officeDocument/2006/relationships" r:id="R926960ffc6294eeb"/>
    <x:tablePart xmlns:r="http://schemas.openxmlformats.org/officeDocument/2006/relationships" r:id="Rb7086a2f1ba149ed"/>
  </x:tableParts>
</x:worksheet>
</file>